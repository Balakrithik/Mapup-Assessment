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yze\OneDrive\Desktop\Mapup assessment\MapUp-Data-Assessment-F-main\"/>
    </mc:Choice>
  </mc:AlternateContent>
  <xr:revisionPtr revIDLastSave="0" documentId="13_ncr:1_{9397854D-419C-4FE0-BD37-DE92F5E06554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F24" i="20"/>
  <c r="F25" i="20"/>
  <c r="F26" i="20"/>
  <c r="F27" i="20"/>
  <c r="F28" i="20"/>
  <c r="F29" i="20"/>
  <c r="F30" i="20"/>
  <c r="F31" i="20"/>
  <c r="F32" i="20"/>
  <c r="F33" i="20"/>
  <c r="F34" i="20"/>
  <c r="F35" i="20"/>
  <c r="F23" i="20"/>
  <c r="E35" i="20" a="1"/>
  <c r="E35" i="20" s="1"/>
  <c r="D35" i="20" a="1"/>
  <c r="D35" i="20" s="1"/>
  <c r="E34" i="20" a="1"/>
  <c r="E34" i="20" s="1"/>
  <c r="D34" i="20" a="1"/>
  <c r="D34" i="20" s="1"/>
  <c r="E33" i="20" a="1"/>
  <c r="E33" i="20" s="1"/>
  <c r="D33" i="20" a="1"/>
  <c r="D33" i="20" s="1"/>
  <c r="E32" i="20" a="1"/>
  <c r="E32" i="20" s="1"/>
  <c r="D32" i="20" a="1"/>
  <c r="D32" i="20" s="1"/>
  <c r="E31" i="20" a="1"/>
  <c r="E31" i="20" s="1"/>
  <c r="D31" i="20" a="1"/>
  <c r="D31" i="20" s="1"/>
  <c r="E30" i="20" a="1"/>
  <c r="E30" i="20" s="1"/>
  <c r="D30" i="20" a="1"/>
  <c r="D30" i="20" s="1"/>
  <c r="E29" i="20" a="1"/>
  <c r="E29" i="20" s="1"/>
  <c r="D29" i="20" a="1"/>
  <c r="D29" i="20" s="1"/>
  <c r="E28" i="20" a="1"/>
  <c r="E28" i="20" s="1"/>
  <c r="D28" i="20" a="1"/>
  <c r="D28" i="20" s="1"/>
  <c r="E27" i="20" a="1"/>
  <c r="E27" i="20" s="1"/>
  <c r="D27" i="20" a="1"/>
  <c r="D27" i="20" s="1"/>
  <c r="E26" i="20" a="1"/>
  <c r="E26" i="20" s="1"/>
  <c r="D26" i="20" a="1"/>
  <c r="D26" i="20" s="1"/>
  <c r="E25" i="20" a="1"/>
  <c r="E25" i="20" s="1"/>
  <c r="D25" i="20" a="1"/>
  <c r="D25" i="20" s="1"/>
  <c r="E24" i="20" a="1"/>
  <c r="E24" i="20" s="1"/>
  <c r="D24" i="20" a="1"/>
  <c r="D24" i="20" s="1"/>
  <c r="E23" i="20" a="1"/>
  <c r="E23" i="20" s="1"/>
  <c r="D23" i="20" a="1"/>
  <c r="D23" i="20" s="1"/>
  <c r="C24" i="20" l="1"/>
  <c r="C30" i="20"/>
  <c r="C25" i="20"/>
  <c r="C31" i="20"/>
  <c r="C26" i="20"/>
  <c r="C32" i="20"/>
  <c r="C27" i="20"/>
  <c r="C33" i="20"/>
  <c r="C28" i="20"/>
  <c r="C34" i="20"/>
  <c r="C29" i="20"/>
  <c r="C35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6" i="18" a="1"/>
  <c r="F6" i="18" s="1"/>
  <c r="E6" i="18" a="1"/>
  <c r="E6" i="18" s="1"/>
  <c r="D6" i="18" a="1"/>
  <c r="D6" i="18" s="1"/>
  <c r="C6" i="18" a="1"/>
  <c r="C6" i="18" s="1"/>
  <c r="B6" i="18" a="1"/>
  <c r="B6" i="18" s="1"/>
  <c r="F5" i="15"/>
  <c r="H4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<sst xmlns="http://schemas.openxmlformats.org/spreadsheetml/2006/main" count="412" uniqueCount="189">
  <si>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</si>
  <si>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</si>
  <si>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</si>
  <si>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</si>
  <si>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</si>
  <si>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</si>
  <si>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</si>
  <si>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</si>
  <si>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</si>
  <si>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</si>
  <si>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</si>
  <si>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</si>
  <si>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</si>
  <si>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</si>
  <si>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</si>
  <si>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</si>
  <si>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</si>
  <si>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</si>
  <si>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</si>
  <si>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</si>
  <si>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</si>
  <si>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</si>
  <si>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</si>
  <si>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</si>
  <si>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</si>
  <si>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</si>
  <si>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</si>
  <si>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</si>
  <si>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</si>
  <si>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</si>
  <si>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</si>
  <si>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</si>
  <si>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</si>
  <si>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</si>
  <si>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</si>
  <si>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</si>
  <si>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</si>
  <si>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</si>
  <si>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</si>
  <si>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</si>
  <si>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</si>
  <si>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</si>
  <si>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</si>
  <si>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</si>
  <si>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</si>
  <si>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</si>
  <si>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</si>
  <si>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</si>
  <si>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</si>
  <si>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</si>
  <si>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</si>
  <si>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</si>
  <si>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</si>
  <si>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</si>
  <si>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</si>
  <si>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</si>
  <si>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</si>
  <si>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</si>
  <si>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</si>
  <si>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</si>
  <si>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</si>
  <si>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</si>
  <si>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</si>
  <si>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</si>
  <si>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</si>
  <si>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</si>
  <si>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</si>
  <si>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</si>
  <si>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</si>
  <si>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</si>
  <si>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</si>
  <si>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</si>
  <si>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</si>
  <si>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</si>
  <si>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</si>
  <si>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</si>
  <si>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</si>
  <si>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</si>
  <si>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</si>
  <si>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</si>
  <si>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</si>
  <si>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</si>
  <si>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</si>
  <si>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</si>
  <si>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</si>
  <si>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</si>
  <si>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</si>
  <si>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</si>
  <si>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</si>
  <si>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</si>
  <si>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</si>
  <si>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</si>
  <si>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</si>
  <si>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</si>
  <si>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</si>
  <si>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</si>
  <si>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</si>
  <si>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</si>
  <si>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</si>
  <si>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</si>
  <si>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</si>
  <si>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</si>
  <si>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</si>
  <si>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</si>
  <si>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</si>
  <si>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</si>
  <si>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</si>
  <si>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</si>
  <si>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</si>
  <si>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</si>
  <si>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</si>
  <si>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</si>
  <si>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</si>
  <si>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</si>
  <si>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</si>
  <si>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</si>
  <si>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</si>
  <si>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</si>
  <si>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</si>
  <si>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</si>
  <si>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</si>
  <si>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</si>
  <si>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</si>
  <si>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</si>
  <si>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</si>
  <si>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</si>
  <si>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</si>
  <si>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</si>
  <si>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</si>
  <si>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</si>
  <si>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</si>
  <si>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</si>
  <si>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</si>
  <si>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</si>
  <si>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</si>
  <si>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</si>
  <si>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</si>
  <si>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</si>
  <si>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</si>
  <si>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</si>
  <si>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</si>
  <si>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</si>
  <si>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</si>
  <si>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</si>
  <si>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</si>
  <si>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</si>
  <si>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</si>
  <si>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</si>
  <si>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</si>
  <si>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</si>
  <si>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</si>
  <si>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</si>
  <si>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</si>
  <si>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</si>
  <si>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</si>
  <si>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</si>
  <si>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</si>
  <si>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</si>
  <si>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</si>
  <si>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</si>
  <si>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</si>
  <si>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</si>
  <si>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</si>
  <si>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</si>
  <si>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</si>
  <si>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</si>
  <si>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</si>
  <si>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</si>
  <si>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</si>
  <si>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</si>
  <si>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</si>
  <si>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</si>
  <si>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</si>
  <si>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</si>
  <si>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</si>
  <si>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</si>
  <si>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</si>
  <si>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</si>
  <si>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</si>
  <si>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by using text to columns fucntion</t>
  </si>
  <si>
    <t>Data - &gt; texttocolumsn -&gt; delimiter "-"</t>
  </si>
  <si>
    <t>Use find and replace for substitute #N/a -&gt; 20</t>
  </si>
  <si>
    <t>SUM(C12:C21)</t>
  </si>
  <si>
    <t>filter_name1</t>
  </si>
  <si>
    <t>filter_name2</t>
  </si>
  <si>
    <t>pointer</t>
  </si>
  <si>
    <t>Col_num_index</t>
  </si>
  <si>
    <t>By using sample pointer for Table_B.name then filter for Table C for name_1 and name_2 then create a sample column number index for Table_A. then use vlookup funtion</t>
  </si>
  <si>
    <t>VLOOKUP(D23,$A$9:$J$18,F23,0)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</si>
</sst>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  <xf numFmtId="0" fontId="1" fillId="0" borderId="0"/>
    <xf numFmtId="0" fontId="1" fillId="0" borderId="0"/>
  </cellStyleXfs>
  <cellXfs count="50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166" fontId="8" fillId="0" borderId="0" xfId="0" applyNumberFormat="1" applyFont="1"/>
    <xf numFmtId="166" fontId="4" fillId="0" borderId="0" xfId="0" applyNumberFormat="1" applyFont="1"/>
    <xf numFmtId="0" fontId="10" fillId="0" borderId="1" xfId="0" applyFont="1" applyBorder="1" applyAlignment="1">
      <alignment horizontal="center"/>
    </xf>
    <xf numFmtId="0" fontId="9" fillId="0" borderId="0" xfId="11" applyFont="1"/>
    <xf numFmtId="0" fontId="9" fillId="0" borderId="8" xfId="0" applyFont="1" applyBorder="1"/>
  </cellXfs>
  <cellStyles count="13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2 4" xfId="12" xr:uid="{549B420B-BC98-4894-9834-F030ED50B483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6" xfId="11" xr:uid="{F2293DA9-D945-409A-84CA-D71772307B59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6" t="s">
        <v>172</v>
      </c>
      <c r="B9" s="26" t="s">
        <v>170</v>
      </c>
    </row>
    <row r="10" spans="1:3" x14ac:dyDescent="0.3">
      <c r="A10" s="35" t="s">
        <v>173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171</v>
      </c>
      <c r="B15" s="25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M1" zoomScale="102" zoomScaleNormal="70" workbookViewId="0">
      <pane ySplit="1" topLeftCell="A3" activePane="bottomLeft" state="frozen"/>
      <selection pane="bottomLeft" activeCell="I41" sqref="I4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2" spans="1:24" x14ac:dyDescent="0.3">
      <c r="H42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C40 E1:X40"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ACA1631-A2A4-41F4-BE1A-F4EB1AB40173}">
            <xm:f>NOT(ISERROR(SEARCH(-1,A1)))</xm:f>
            <xm:f>-1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A1:C40 E1:X40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F14"/>
  <sheetViews>
    <sheetView zoomScale="98" zoomScaleNormal="100" workbookViewId="0">
      <selection activeCell="C13" sqref="C13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8.77734375" style="1" bestFit="1" customWidth="1"/>
    <col min="5" max="5" width="14.44140625" style="1" bestFit="1" customWidth="1"/>
    <col min="6" max="16384" width="11" style="1"/>
  </cols>
  <sheetData>
    <row r="1" spans="1:6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6" x14ac:dyDescent="0.3">
      <c r="A2" s="2"/>
      <c r="B2" s="5" t="s">
        <v>161</v>
      </c>
      <c r="C2" s="2"/>
    </row>
    <row r="3" spans="1:6" x14ac:dyDescent="0.3">
      <c r="A3" s="6">
        <v>1</v>
      </c>
      <c r="B3" s="2" t="s">
        <v>108</v>
      </c>
      <c r="C3" s="2" t="s">
        <v>45</v>
      </c>
      <c r="E3" s="1">
        <v>5</v>
      </c>
    </row>
    <row r="4" spans="1:6" x14ac:dyDescent="0.3">
      <c r="A4" s="6">
        <v>2</v>
      </c>
      <c r="B4" s="2" t="s">
        <v>46</v>
      </c>
      <c r="C4" s="2"/>
      <c r="E4" s="1">
        <v>5</v>
      </c>
    </row>
    <row r="5" spans="1:6" x14ac:dyDescent="0.3">
      <c r="A5" s="6">
        <v>3</v>
      </c>
      <c r="B5" s="2" t="s">
        <v>104</v>
      </c>
      <c r="C5" s="34" t="s">
        <v>105</v>
      </c>
      <c r="D5" s="1" t="s">
        <v>178</v>
      </c>
      <c r="E5" s="1">
        <v>10</v>
      </c>
      <c r="F5" s="1">
        <f>SUMIF(Dataset!H2:H40,"&gt;20")</f>
        <v>1473.0000000000002</v>
      </c>
    </row>
    <row r="6" spans="1:6" x14ac:dyDescent="0.3">
      <c r="A6" s="6">
        <v>4</v>
      </c>
      <c r="B6" s="2" t="s">
        <v>107</v>
      </c>
      <c r="C6" s="2"/>
      <c r="E6" s="1">
        <v>5</v>
      </c>
    </row>
    <row r="7" spans="1:6" x14ac:dyDescent="0.3">
      <c r="A7" s="2"/>
      <c r="B7" s="2"/>
      <c r="C7" s="2"/>
    </row>
    <row r="13" spans="1:6" x14ac:dyDescent="0.3">
      <c r="E13" s="2"/>
    </row>
    <row r="14" spans="1:6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64" zoomScaleNormal="100" workbookViewId="0">
      <selection activeCell="I28" sqref="I2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165</v>
      </c>
    </row>
    <row r="2" spans="1:7" s="41" customFormat="1" ht="21" x14ac:dyDescent="0.4">
      <c r="B2" s="41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 cm="1">
        <f t="array" ref="B6:B27">VLOOKUP(A6:A27,Dataset!A1:X40,7,)</f>
        <v>2.7</v>
      </c>
      <c r="C6" s="12" cm="1">
        <f t="array" ref="C6:C27">VLOOKUP(A6:A27,Dataset!A1:X40,14,)</f>
        <v>7.6</v>
      </c>
      <c r="D6" s="12" cm="1">
        <f t="array" ref="D6:D27">VLOOKUP(A6:A27,Dataset!A1:X40,18,)</f>
        <v>4.2</v>
      </c>
      <c r="E6" s="12" cm="1">
        <f t="array" ref="E6:E27">VLOOKUP(A6:A27,Dataset!A1:X40,20,)</f>
        <v>8.9</v>
      </c>
      <c r="F6" s="8" cm="1">
        <f t="array" ref="F6:F27">VLOOKUP(A6:A27,Dataset!A1:X40,22,)</f>
        <v>4.2</v>
      </c>
    </row>
    <row r="7" spans="1:7" ht="14.4" x14ac:dyDescent="0.3">
      <c r="A7" s="7" t="s">
        <v>4</v>
      </c>
      <c r="B7" s="1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4.4" x14ac:dyDescent="0.3">
      <c r="A8" s="7" t="s">
        <v>7</v>
      </c>
      <c r="B8" s="12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4.4" x14ac:dyDescent="0.3">
      <c r="A9" s="7" t="s">
        <v>8</v>
      </c>
      <c r="B9" s="12"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7" ht="14.4" x14ac:dyDescent="0.3">
      <c r="A10" s="7" t="s">
        <v>11</v>
      </c>
      <c r="B10" s="12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4.4" x14ac:dyDescent="0.3">
      <c r="A11" s="7" t="s">
        <v>12</v>
      </c>
      <c r="B11" s="12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4.4" x14ac:dyDescent="0.3">
      <c r="A12" s="7" t="s">
        <v>14</v>
      </c>
      <c r="B12" s="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4.4" x14ac:dyDescent="0.3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4" x14ac:dyDescent="0.3">
      <c r="A14" s="7" t="s">
        <v>16</v>
      </c>
      <c r="B14" s="12"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4.4" x14ac:dyDescent="0.3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4.4" x14ac:dyDescent="0.3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4.4" x14ac:dyDescent="0.3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4.4" x14ac:dyDescent="0.3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4.4" x14ac:dyDescent="0.3">
      <c r="A19" s="7" t="s">
        <v>24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4.4" x14ac:dyDescent="0.3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4" x14ac:dyDescent="0.3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4.4" x14ac:dyDescent="0.3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4" x14ac:dyDescent="0.3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4.4" x14ac:dyDescent="0.3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4.4" x14ac:dyDescent="0.3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4.4" x14ac:dyDescent="0.3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4.4" x14ac:dyDescent="0.3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4.4" x14ac:dyDescent="0.3">
      <c r="A28" s="19" t="s">
        <v>82</v>
      </c>
      <c r="B28" s="31">
        <f>MIN(_xlfn.ANCHORARRAY(B6))</f>
        <v>-1</v>
      </c>
      <c r="C28" s="31">
        <f>MIN(_xlfn.ANCHORARRAY(C6))</f>
        <v>-1</v>
      </c>
      <c r="D28" s="31">
        <f t="shared" ref="D28:F28" si="0">MIN(_xlfn.ANCHORARRAY(D6))</f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MAX(_xlfn.ANCHORARRAY(B6))</f>
        <v>51.8</v>
      </c>
      <c r="C29" s="31">
        <f t="shared" ref="C29:F29" si="1">MAX(_xlfn.ANCHORARRAY(C6))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AVERAGE(_xlfn.ANCHORARRAY(B6))</f>
        <v>20.827272727272728</v>
      </c>
      <c r="C30" s="31">
        <f t="shared" ref="C30:F30" si="2">AVERAGE(_xlfn.ANCHORARRAY(C6))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="46" zoomScaleNormal="100" workbookViewId="0">
      <selection activeCell="H8" sqref="H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3" t="s">
        <v>53</v>
      </c>
      <c r="B5" s="40" t="s">
        <v>179</v>
      </c>
    </row>
    <row r="6" spans="1:10" ht="18" x14ac:dyDescent="0.35">
      <c r="A6" s="43" t="s">
        <v>154</v>
      </c>
      <c r="B6" s="40" t="s">
        <v>180</v>
      </c>
    </row>
    <row r="7" spans="1:10" ht="18" x14ac:dyDescent="0.35">
      <c r="A7" s="43"/>
      <c r="B7" s="40"/>
    </row>
    <row r="9" spans="1:10" ht="23.4" x14ac:dyDescent="0.45">
      <c r="A9" s="18" t="s">
        <v>166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123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151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120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121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="72" zoomScaleNormal="100" workbookViewId="0">
      <selection activeCell="F13" sqref="F1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168</v>
      </c>
    </row>
    <row r="2" spans="1:3" ht="18" x14ac:dyDescent="0.35">
      <c r="B2" s="40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 t="s">
        <v>181</v>
      </c>
    </row>
    <row r="7" spans="1:3" ht="14.4" x14ac:dyDescent="0.3">
      <c r="A7" s="3" t="s">
        <v>154</v>
      </c>
      <c r="B7" s="1" t="s">
        <v>182</v>
      </c>
    </row>
    <row r="10" spans="1:3" ht="23.4" x14ac:dyDescent="0.45">
      <c r="A10" s="18" t="s">
        <v>163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155</v>
      </c>
      <c r="C17" s="17">
        <v>150</v>
      </c>
    </row>
    <row r="18" spans="1:3" ht="14.4" x14ac:dyDescent="0.3">
      <c r="A18" s="32">
        <v>44933</v>
      </c>
      <c r="B18" s="17" t="s">
        <v>156</v>
      </c>
      <c r="C18" s="17">
        <v>80</v>
      </c>
    </row>
    <row r="19" spans="1:3" ht="14.4" x14ac:dyDescent="0.3">
      <c r="A19" s="32">
        <v>44934</v>
      </c>
      <c r="B19" s="17" t="s">
        <v>157</v>
      </c>
      <c r="C19" s="17">
        <v>20</v>
      </c>
    </row>
    <row r="20" spans="1:3" ht="14.4" x14ac:dyDescent="0.3">
      <c r="A20" s="32">
        <v>44935</v>
      </c>
      <c r="B20" s="17" t="s">
        <v>158</v>
      </c>
      <c r="C20" s="17">
        <v>30</v>
      </c>
    </row>
    <row r="21" spans="1:3" ht="14.4" x14ac:dyDescent="0.3">
      <c r="A21" s="32">
        <v>44936</v>
      </c>
      <c r="B21" s="17" t="s">
        <v>159</v>
      </c>
      <c r="C21" s="17">
        <v>20</v>
      </c>
    </row>
    <row r="22" spans="1:3" ht="14.4" x14ac:dyDescent="0.3">
      <c r="B22" s="17" t="s">
        <v>160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abSelected="1" topLeftCell="A3" zoomScale="61" zoomScaleNormal="100" workbookViewId="0">
      <selection activeCell="O30" sqref="O30"/>
    </sheetView>
  </sheetViews>
  <sheetFormatPr defaultColWidth="11" defaultRowHeight="13.8" x14ac:dyDescent="0.3"/>
  <cols>
    <col min="1" max="1" width="28.21875" style="2" bestFit="1" customWidth="1"/>
    <col min="2" max="2" width="11" style="2"/>
    <col min="3" max="3" width="28.21875" style="2" customWidth="1"/>
    <col min="4" max="16384" width="11" style="2"/>
  </cols>
  <sheetData>
    <row r="1" spans="1:15" ht="21" x14ac:dyDescent="0.4">
      <c r="A1" s="42" t="s">
        <v>98</v>
      </c>
      <c r="B1" s="41" t="s">
        <v>176</v>
      </c>
    </row>
    <row r="3" spans="1:15" ht="14.4" x14ac:dyDescent="0.3">
      <c r="B3" s="1" t="s">
        <v>152</v>
      </c>
    </row>
    <row r="4" spans="1:15" ht="18" x14ac:dyDescent="0.35">
      <c r="A4" s="43" t="s">
        <v>53</v>
      </c>
      <c r="B4" s="1"/>
      <c r="C4" s="2" t="s">
        <v>187</v>
      </c>
    </row>
    <row r="5" spans="1:15" ht="18" x14ac:dyDescent="0.35">
      <c r="A5" s="43" t="s">
        <v>154</v>
      </c>
      <c r="B5" s="1"/>
      <c r="C5" s="2" t="s">
        <v>188</v>
      </c>
    </row>
    <row r="6" spans="1:15" ht="14.4" x14ac:dyDescent="0.3">
      <c r="A6" s="3"/>
      <c r="B6" s="1"/>
    </row>
    <row r="8" spans="1:15" ht="23.4" x14ac:dyDescent="0.45">
      <c r="A8" s="18" t="s">
        <v>163</v>
      </c>
      <c r="M8" s="18" t="s">
        <v>164</v>
      </c>
    </row>
    <row r="9" spans="1:15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  <c r="O9" s="2" t="s">
        <v>185</v>
      </c>
    </row>
    <row r="10" spans="1:15" ht="14.4" x14ac:dyDescent="0.3">
      <c r="A10" s="47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  <c r="O10" s="48">
        <v>2</v>
      </c>
    </row>
    <row r="11" spans="1:15" ht="14.4" x14ac:dyDescent="0.3">
      <c r="A11" s="47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  <c r="O11" s="48">
        <v>3</v>
      </c>
    </row>
    <row r="12" spans="1:15" ht="14.4" x14ac:dyDescent="0.3">
      <c r="A12" s="47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  <c r="O12" s="48">
        <v>4</v>
      </c>
    </row>
    <row r="13" spans="1:15" ht="14.4" x14ac:dyDescent="0.3">
      <c r="A13" s="47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  <c r="O13" s="48">
        <v>5</v>
      </c>
    </row>
    <row r="14" spans="1:15" ht="14.4" x14ac:dyDescent="0.3">
      <c r="A14" s="47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  <c r="O14" s="48">
        <v>6</v>
      </c>
    </row>
    <row r="15" spans="1:15" ht="14.4" x14ac:dyDescent="0.3">
      <c r="A15" s="47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  <c r="O15" s="48">
        <v>7</v>
      </c>
    </row>
    <row r="16" spans="1:15" ht="14.4" x14ac:dyDescent="0.3">
      <c r="A16" s="47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  <c r="O16" s="48">
        <v>8</v>
      </c>
    </row>
    <row r="17" spans="1:15" ht="14.4" x14ac:dyDescent="0.3">
      <c r="A17" s="47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  <c r="O17" s="48">
        <v>9</v>
      </c>
    </row>
    <row r="18" spans="1:15" ht="14.4" x14ac:dyDescent="0.3">
      <c r="A18" s="47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  <c r="O18" s="48">
        <v>10</v>
      </c>
    </row>
    <row r="21" spans="1:15" ht="23.4" x14ac:dyDescent="0.45">
      <c r="A21" s="18" t="s">
        <v>169</v>
      </c>
    </row>
    <row r="22" spans="1:15" ht="14.4" x14ac:dyDescent="0.3">
      <c r="A22" s="14" t="s">
        <v>100</v>
      </c>
      <c r="B22" s="17" t="s">
        <v>101</v>
      </c>
      <c r="C22" s="16" t="s">
        <v>102</v>
      </c>
      <c r="D22" s="2" t="s">
        <v>183</v>
      </c>
      <c r="E22" s="2" t="s">
        <v>184</v>
      </c>
      <c r="F22" s="2" t="s">
        <v>186</v>
      </c>
    </row>
    <row r="23" spans="1:15" ht="14.4" x14ac:dyDescent="0.3">
      <c r="A23" s="7">
        <v>10100</v>
      </c>
      <c r="B23" s="12">
        <v>10102</v>
      </c>
      <c r="C23" s="44">
        <f>VLOOKUP(D23,$A$9:$J$18,F23,0)</f>
        <v>95</v>
      </c>
      <c r="D23" s="2" t="str" cm="1">
        <f t="array" ref="D23">_xlfn._xlws.FILTER($N$10:$N$18,$M$10:$M$18=A23)</f>
        <v>A</v>
      </c>
      <c r="E23" s="2" t="str" cm="1">
        <f t="array" ref="E23">_xlfn._xlws.FILTER($N$10:$N$18,$M$10:$M$18=B23)</f>
        <v>B</v>
      </c>
      <c r="F23" s="2">
        <f>VLOOKUP(E23,N:O,2,0)</f>
        <v>3</v>
      </c>
    </row>
    <row r="24" spans="1:15" ht="14.4" x14ac:dyDescent="0.3">
      <c r="A24" s="7">
        <v>10100</v>
      </c>
      <c r="B24" s="12">
        <v>10104</v>
      </c>
      <c r="C24" s="44">
        <f t="shared" ref="C24:C35" si="0">VLOOKUP(D24,$A$9:$J$18,F24,0)</f>
        <v>-1</v>
      </c>
      <c r="D24" s="2" t="str" cm="1">
        <f t="array" ref="D24">_xlfn._xlws.FILTER($N$10:$N$18,$M$10:$M$18=A24)</f>
        <v>A</v>
      </c>
      <c r="E24" s="2" t="str" cm="1">
        <f t="array" ref="E24">_xlfn._xlws.FILTER($N$10:$N$18,$M$10:$M$18=B24)</f>
        <v>C</v>
      </c>
      <c r="F24" s="2">
        <f t="shared" ref="F24:F35" si="1">VLOOKUP(E24,N:O,2,0)</f>
        <v>4</v>
      </c>
    </row>
    <row r="25" spans="1:15" ht="14.4" x14ac:dyDescent="0.3">
      <c r="A25" s="7">
        <v>10108</v>
      </c>
      <c r="B25" s="12">
        <v>10102</v>
      </c>
      <c r="C25" s="44">
        <f t="shared" si="0"/>
        <v>160</v>
      </c>
      <c r="D25" s="2" t="str" cm="1">
        <f t="array" ref="D25">_xlfn._xlws.FILTER($N$10:$N$18,$M$10:$M$18=A25)</f>
        <v>E</v>
      </c>
      <c r="E25" s="2" t="str" cm="1">
        <f t="array" ref="E25">_xlfn._xlws.FILTER($N$10:$N$18,$M$10:$M$18=B25)</f>
        <v>B</v>
      </c>
      <c r="F25" s="2">
        <f t="shared" si="1"/>
        <v>3</v>
      </c>
    </row>
    <row r="26" spans="1:15" ht="14.4" x14ac:dyDescent="0.3">
      <c r="A26" s="7">
        <v>10100</v>
      </c>
      <c r="B26" s="12">
        <v>10106</v>
      </c>
      <c r="C26" s="44">
        <f t="shared" si="0"/>
        <v>185</v>
      </c>
      <c r="D26" s="2" t="str" cm="1">
        <f t="array" ref="D26">_xlfn._xlws.FILTER($N$10:$N$18,$M$10:$M$18=A26)</f>
        <v>A</v>
      </c>
      <c r="E26" s="2" t="str" cm="1">
        <f t="array" ref="E26">_xlfn._xlws.FILTER($N$10:$N$18,$M$10:$M$18=B26)</f>
        <v>D</v>
      </c>
      <c r="F26" s="2">
        <f t="shared" si="1"/>
        <v>5</v>
      </c>
    </row>
    <row r="27" spans="1:15" ht="14.4" x14ac:dyDescent="0.3">
      <c r="A27" s="7">
        <v>10108</v>
      </c>
      <c r="B27" s="12">
        <v>10110</v>
      </c>
      <c r="C27" s="44">
        <f t="shared" si="0"/>
        <v>50</v>
      </c>
      <c r="D27" s="2" t="str" cm="1">
        <f t="array" ref="D27">_xlfn._xlws.FILTER($N$10:$N$18,$M$10:$M$18=A27)</f>
        <v>E</v>
      </c>
      <c r="E27" s="2" t="str" cm="1">
        <f t="array" ref="E27">_xlfn._xlws.FILTER($N$10:$N$18,$M$10:$M$18=B27)</f>
        <v>F</v>
      </c>
      <c r="F27" s="2">
        <f t="shared" si="1"/>
        <v>7</v>
      </c>
    </row>
    <row r="28" spans="1:15" ht="14.4" x14ac:dyDescent="0.3">
      <c r="A28" s="7">
        <v>10102</v>
      </c>
      <c r="B28" s="12">
        <v>10104</v>
      </c>
      <c r="C28" s="44">
        <f t="shared" si="0"/>
        <v>-1</v>
      </c>
      <c r="D28" s="2" t="str" cm="1">
        <f t="array" ref="D28">_xlfn._xlws.FILTER($N$10:$N$18,$M$10:$M$18=A28)</f>
        <v>B</v>
      </c>
      <c r="E28" s="2" t="str" cm="1">
        <f t="array" ref="E28">_xlfn._xlws.FILTER($N$10:$N$18,$M$10:$M$18=B28)</f>
        <v>C</v>
      </c>
      <c r="F28" s="2">
        <f t="shared" si="1"/>
        <v>4</v>
      </c>
    </row>
    <row r="29" spans="1:15" ht="14.4" x14ac:dyDescent="0.3">
      <c r="A29" s="7">
        <v>10106</v>
      </c>
      <c r="B29" s="12">
        <v>10108</v>
      </c>
      <c r="C29" s="44">
        <f t="shared" si="0"/>
        <v>70</v>
      </c>
      <c r="D29" s="2" t="str" cm="1">
        <f t="array" ref="D29">_xlfn._xlws.FILTER($N$10:$N$18,$M$10:$M$18=A29)</f>
        <v>D</v>
      </c>
      <c r="E29" s="2" t="str" cm="1">
        <f t="array" ref="E29">_xlfn._xlws.FILTER($N$10:$N$18,$M$10:$M$18=B29)</f>
        <v>E</v>
      </c>
      <c r="F29" s="2">
        <f t="shared" si="1"/>
        <v>6</v>
      </c>
    </row>
    <row r="30" spans="1:15" ht="14.4" x14ac:dyDescent="0.3">
      <c r="A30" s="7">
        <v>10102</v>
      </c>
      <c r="B30" s="12">
        <v>10106</v>
      </c>
      <c r="C30" s="44">
        <f t="shared" si="0"/>
        <v>90</v>
      </c>
      <c r="D30" s="2" t="str" cm="1">
        <f t="array" ref="D30">_xlfn._xlws.FILTER($N$10:$N$18,$M$10:$M$18=A30)</f>
        <v>B</v>
      </c>
      <c r="E30" s="2" t="str" cm="1">
        <f t="array" ref="E30">_xlfn._xlws.FILTER($N$10:$N$18,$M$10:$M$18=B30)</f>
        <v>D</v>
      </c>
      <c r="F30" s="2">
        <f t="shared" si="1"/>
        <v>5</v>
      </c>
    </row>
    <row r="31" spans="1:15" ht="14.4" x14ac:dyDescent="0.3">
      <c r="A31" s="7">
        <v>10110</v>
      </c>
      <c r="B31" s="12">
        <v>10114</v>
      </c>
      <c r="C31" s="44">
        <f t="shared" si="0"/>
        <v>180</v>
      </c>
      <c r="D31" s="2" t="str" cm="1">
        <f t="array" ref="D31">_xlfn._xlws.FILTER($N$10:$N$18,$M$10:$M$18=A31)</f>
        <v>F</v>
      </c>
      <c r="E31" s="2" t="str" cm="1">
        <f t="array" ref="E31">_xlfn._xlws.FILTER($N$10:$N$18,$M$10:$M$18=B31)</f>
        <v>H</v>
      </c>
      <c r="F31" s="2">
        <f t="shared" si="1"/>
        <v>9</v>
      </c>
    </row>
    <row r="32" spans="1:15" ht="14.4" x14ac:dyDescent="0.3">
      <c r="A32" s="7">
        <v>10104</v>
      </c>
      <c r="B32" s="12">
        <v>10106</v>
      </c>
      <c r="C32" s="44">
        <f t="shared" si="0"/>
        <v>60</v>
      </c>
      <c r="D32" s="2" t="str" cm="1">
        <f t="array" ref="D32">_xlfn._xlws.FILTER($N$10:$N$18,$M$10:$M$18=A32)</f>
        <v>C</v>
      </c>
      <c r="E32" s="2" t="str" cm="1">
        <f t="array" ref="E32">_xlfn._xlws.FILTER($N$10:$N$18,$M$10:$M$18=B32)</f>
        <v>D</v>
      </c>
      <c r="F32" s="2">
        <f t="shared" si="1"/>
        <v>5</v>
      </c>
    </row>
    <row r="33" spans="1:6" ht="14.4" x14ac:dyDescent="0.3">
      <c r="A33" s="7">
        <v>10110</v>
      </c>
      <c r="B33" s="12">
        <v>10112</v>
      </c>
      <c r="C33" s="44">
        <f t="shared" si="0"/>
        <v>115</v>
      </c>
      <c r="D33" s="2" t="str" cm="1">
        <f t="array" ref="D33">_xlfn._xlws.FILTER($N$10:$N$18,$M$10:$M$18=A33)</f>
        <v>F</v>
      </c>
      <c r="E33" s="2" t="str" cm="1">
        <f t="array" ref="E33">_xlfn._xlws.FILTER($N$10:$N$18,$M$10:$M$18=B33)</f>
        <v>G</v>
      </c>
      <c r="F33" s="2">
        <f t="shared" si="1"/>
        <v>8</v>
      </c>
    </row>
    <row r="34" spans="1:6" ht="14.4" x14ac:dyDescent="0.3">
      <c r="A34" s="7">
        <v>10100</v>
      </c>
      <c r="B34" s="12">
        <v>10114</v>
      </c>
      <c r="C34" s="44">
        <f t="shared" si="0"/>
        <v>480</v>
      </c>
      <c r="D34" s="2" t="str" cm="1">
        <f t="array" ref="D34">_xlfn._xlws.FILTER($N$10:$N$18,$M$10:$M$18=A34)</f>
        <v>A</v>
      </c>
      <c r="E34" s="2" t="str" cm="1">
        <f t="array" ref="E34">_xlfn._xlws.FILTER($N$10:$N$18,$M$10:$M$18=B34)</f>
        <v>H</v>
      </c>
      <c r="F34" s="2">
        <f t="shared" si="1"/>
        <v>9</v>
      </c>
    </row>
    <row r="35" spans="1:6" ht="14.4" x14ac:dyDescent="0.3">
      <c r="A35" s="9">
        <v>10112</v>
      </c>
      <c r="B35" s="13">
        <v>10116</v>
      </c>
      <c r="C35" s="49">
        <f t="shared" si="0"/>
        <v>105</v>
      </c>
      <c r="D35" s="2" t="str" cm="1">
        <f t="array" ref="D35">_xlfn._xlws.FILTER($N$10:$N$18,$M$10:$M$18=A35)</f>
        <v>G</v>
      </c>
      <c r="E35" s="2" t="str" cm="1">
        <f t="array" ref="E35">_xlfn._xlws.FILTER($N$10:$N$18,$M$10:$M$18=B35)</f>
        <v>I</v>
      </c>
      <c r="F35" s="2">
        <f t="shared" si="1"/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RYZE GAMING</cp:lastModifiedBy>
  <dcterms:created xsi:type="dcterms:W3CDTF">2015-02-10T17:33:11Z</dcterms:created>
  <dcterms:modified xsi:type="dcterms:W3CDTF">2023-12-11T15:58:28Z</dcterms:modified>
</cp:coreProperties>
</file>